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6th Samester\Software  Project Management Lab\SPML Project\Stage 04\"/>
    </mc:Choice>
  </mc:AlternateContent>
  <xr:revisionPtr revIDLastSave="0" documentId="13_ncr:1_{A7E4F42D-8D18-41D4-9D1D-929F55AD026D}" xr6:coauthVersionLast="47" xr6:coauthVersionMax="47" xr10:uidLastSave="{00000000-0000-0000-0000-000000000000}"/>
  <bookViews>
    <workbookView xWindow="-108" yWindow="-108" windowWidth="23256" windowHeight="12456" xr2:uid="{4CAA103F-979E-4EC2-A4BA-BB479A853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6" i="1" s="1"/>
  <c r="C35" i="1" s="1"/>
  <c r="E13" i="1"/>
  <c r="E14" i="1"/>
  <c r="E15" i="1"/>
  <c r="C16" i="1"/>
  <c r="C23" i="1"/>
  <c r="G23" i="1"/>
  <c r="G31" i="1" s="1"/>
  <c r="C36" i="1" s="1"/>
  <c r="C24" i="1"/>
  <c r="G24" i="1"/>
  <c r="C25" i="1"/>
  <c r="G25" i="1"/>
  <c r="C26" i="1"/>
  <c r="G26" i="1"/>
  <c r="C27" i="1"/>
  <c r="G27" i="1"/>
  <c r="C28" i="1"/>
  <c r="G28" i="1"/>
  <c r="C29" i="1"/>
  <c r="G29" i="1"/>
  <c r="C30" i="1"/>
  <c r="G30" i="1"/>
  <c r="C37" i="1" l="1"/>
  <c r="D4" i="1"/>
  <c r="D5" i="1"/>
  <c r="D6" i="1"/>
  <c r="D3" i="1"/>
</calcChain>
</file>

<file path=xl/sharedStrings.xml><?xml version="1.0" encoding="utf-8"?>
<sst xmlns="http://schemas.openxmlformats.org/spreadsheetml/2006/main" count="38" uniqueCount="32">
  <si>
    <t>1 day = 8 hours</t>
  </si>
  <si>
    <t>Task</t>
  </si>
  <si>
    <t>Days</t>
  </si>
  <si>
    <t>Standered Hours</t>
  </si>
  <si>
    <t>Hours(Day*8)</t>
  </si>
  <si>
    <t>Planning &amp; Requirement Analysis</t>
  </si>
  <si>
    <t>System &amp; Interface Design Phase</t>
  </si>
  <si>
    <t>Software Development Phase (Coding)</t>
  </si>
  <si>
    <t>Testing &amp; Quality Assurance Phase</t>
  </si>
  <si>
    <t>A- Task Cost Estimation</t>
  </si>
  <si>
    <t>Task Name</t>
  </si>
  <si>
    <t>Estimated Hours</t>
  </si>
  <si>
    <t>Rate  Per Hours($)</t>
  </si>
  <si>
    <t>Total Cost</t>
  </si>
  <si>
    <t>B-  Resource Cost Estimation</t>
  </si>
  <si>
    <t>Resource Name</t>
  </si>
  <si>
    <t>Hours Worked</t>
  </si>
  <si>
    <t>Hours</t>
  </si>
  <si>
    <t>Total Hours Worked</t>
  </si>
  <si>
    <t>Std/Rate</t>
  </si>
  <si>
    <t>Total Pay</t>
  </si>
  <si>
    <t>Hadia Nasir (PM)</t>
  </si>
  <si>
    <t>Haider Zaman (Developer)</t>
  </si>
  <si>
    <t>Ahmad Khan (UI/UX)</t>
  </si>
  <si>
    <t>Muneeb Akram (Backend)</t>
  </si>
  <si>
    <t>Development Team</t>
  </si>
  <si>
    <t>Haider Zaman (Full-Stack)</t>
  </si>
  <si>
    <t>Ahmad Khan (Frontend)</t>
  </si>
  <si>
    <t>Hadia Nasir (QA)</t>
  </si>
  <si>
    <t>Total Task Estimation</t>
  </si>
  <si>
    <t>Total Resource Cost Estimation</t>
  </si>
  <si>
    <t>Total Project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</si>
</sst>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2" borderId="1" xfId="0" applyFont="1" applyFill="1" applyBorder="1"/>
    <xf numFmtId="0" fontId="4" fillId="0" borderId="2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5" fillId="0" borderId="0" xfId="0" applyFont="1"/>
    <xf numFmtId="0" fontId="4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Total Project Budget</a:t>
            </a:r>
            <a:r>
              <a:rPr lang="en-US" sz="1400" b="0" i="0" u="none" strike="noStrike" baseline="0"/>
              <a:t> </a:t>
            </a:r>
            <a:r>
              <a:rPr lang="en-US" sz="1400" b="1" i="0" u="none" strike="noStrike" baseline="0">
                <a:effectLst/>
              </a:rPr>
              <a:t>Total Project Budget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Sheet1!$B$35:$B$37</c:f>
              <c:strCache>
                <c:ptCount val="3"/>
                <c:pt idx="0">
                  <c:v>Total Task Estimation</c:v>
                </c:pt>
                <c:pt idx="1">
                  <c:v>Total Resource Cost Estimation</c:v>
                </c:pt>
                <c:pt idx="2">
                  <c:v>Total Project Budget</c:v>
                </c:pt>
              </c:strCache>
            </c:strRef>
          </c:cat>
          <c:val>
            <c:numRef>
              <c:f>Sheet1!$C$35:$C$37</c:f>
              <c:numCache>
                <c:formatCode>General</c:formatCode>
                <c:ptCount val="3"/>
                <c:pt idx="0">
                  <c:v>44220</c:v>
                </c:pt>
                <c:pt idx="1">
                  <c:v>2984000</c:v>
                </c:pt>
                <c:pt idx="2">
                  <c:v>3028220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2-403E-850B-E29290D6C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6790128"/>
        <c:axId val="1366793456"/>
      </c:barChart>
      <c:catAx>
        <c:axId val="136679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793456"/>
        <c:crosses val="autoZero"/>
        <c:auto val="1"/>
        <c:lblAlgn val="ctr"/>
        <c:lblOffset val="100"/>
        <c:noMultiLvlLbl val="0"/>
      </c:catAx>
      <c:valAx>
        <c:axId val="136679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79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Sheet1!$C$9:$C$11</c:f>
              <c:strCache>
                <c:ptCount val="3"/>
                <c:pt idx="0">
                  <c:v>A- Task Cost Estimation</c:v>
                </c:pt>
                <c:pt idx="2">
                  <c:v>Estimated 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Sheet1!$B$12:$B$16</c:f>
              <c:strCache>
                <c:ptCount val="5"/>
                <c:pt idx="0">
                  <c:v>Planning &amp; Requirement Analysis</c:v>
                </c:pt>
                <c:pt idx="1">
                  <c:v>System &amp; Interface Design Phase</c:v>
                </c:pt>
                <c:pt idx="2">
                  <c:v>Software Development Phase (Coding)</c:v>
                </c:pt>
                <c:pt idx="3">
                  <c:v>Testing &amp; Quality Assurance Phase</c:v>
                </c:pt>
                <c:pt idx="4">
                  <c:v>Total Cost</c:v>
                </c:pt>
              </c:strCache>
            </c:strRef>
          </c:cat>
          <c:val>
            <c:numRef>
              <c:f>Sheet1!$C$12:$C$16</c:f>
              <c:numCache>
                <c:formatCode>General</c:formatCode>
                <c:ptCount val="5"/>
                <c:pt idx="0">
                  <c:v>152</c:v>
                </c:pt>
                <c:pt idx="1">
                  <c:v>136</c:v>
                </c:pt>
                <c:pt idx="2">
                  <c:v>248</c:v>
                </c:pt>
                <c:pt idx="3">
                  <c:v>148</c:v>
                </c:pt>
                <c:pt idx="4">
                  <c:v>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6-4D4D-A49B-27750F0D89C2}"/>
            </c:ext>
          </c:extLst>
        </c:ser>
        <c:ser>
          <c:idx val="1"/>
          <c:order val="1"/>
          <c:tx>
            <c:strRef>
              <c:f>Sheet1!$D$9:$D$11</c:f>
              <c:strCache>
                <c:ptCount val="3"/>
                <c:pt idx="0">
                  <c:v>A- Task Cost Estimation</c:v>
                </c:pt>
                <c:pt idx="2">
                  <c:v>Rate  Per Hours($)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Sheet1!$B$12:$B$16</c:f>
              <c:strCache>
                <c:ptCount val="5"/>
                <c:pt idx="0">
                  <c:v>Planning &amp; Requirement Analysis</c:v>
                </c:pt>
                <c:pt idx="1">
                  <c:v>System &amp; Interface Design Phase</c:v>
                </c:pt>
                <c:pt idx="2">
                  <c:v>Software Development Phase (Coding)</c:v>
                </c:pt>
                <c:pt idx="3">
                  <c:v>Testing &amp; Quality Assurance Phase</c:v>
                </c:pt>
                <c:pt idx="4">
                  <c:v>Total Cost</c:v>
                </c:pt>
              </c:strCache>
            </c:strRef>
          </c:cat>
          <c:val>
            <c:numRef>
              <c:f>Sheet1!$D$12:$D$16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6-4D4D-A49B-27750F0D89C2}"/>
            </c:ext>
          </c:extLst>
        </c:ser>
        <c:ser>
          <c:idx val="2"/>
          <c:order val="2"/>
          <c:tx>
            <c:strRef>
              <c:f>Sheet1!$E$9:$E$11</c:f>
              <c:strCache>
                <c:ptCount val="3"/>
                <c:pt idx="0">
                  <c:v>A- Task Cost Estimation</c:v>
                </c:pt>
                <c:pt idx="2">
                  <c:v>Total 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Sheet1!$B$12:$B$16</c:f>
              <c:strCache>
                <c:ptCount val="5"/>
                <c:pt idx="0">
                  <c:v>Planning &amp; Requirement Analysis</c:v>
                </c:pt>
                <c:pt idx="1">
                  <c:v>System &amp; Interface Design Phase</c:v>
                </c:pt>
                <c:pt idx="2">
                  <c:v>Software Development Phase (Coding)</c:v>
                </c:pt>
                <c:pt idx="3">
                  <c:v>Testing &amp; Quality Assurance Phase</c:v>
                </c:pt>
                <c:pt idx="4">
                  <c:v>Total Cost</c:v>
                </c:pt>
              </c:strCache>
            </c:strRef>
          </c:cat>
          <c:val>
            <c:numRef>
              <c:f>Sheet1!$E$12:$E$16</c:f>
              <c:numCache>
                <c:formatCode>General</c:formatCode>
                <c:ptCount val="5"/>
                <c:pt idx="0">
                  <c:v>7600</c:v>
                </c:pt>
                <c:pt idx="1">
                  <c:v>8160</c:v>
                </c:pt>
                <c:pt idx="2">
                  <c:v>17360</c:v>
                </c:pt>
                <c:pt idx="3">
                  <c:v>11100</c:v>
                </c:pt>
                <c:pt idx="4">
                  <c:v>44220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66-4D4D-A49B-27750F0D8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A- Task Cost Estimation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Sheet1!$C$9:$C$11</c:f>
              <c:strCache>
                <c:ptCount val="3"/>
                <c:pt idx="0">
                  <c:v>A- Task Cost Estimation</c:v>
                </c:pt>
                <c:pt idx="2">
                  <c:v>Estimated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Sheet1!$B$12:$B$16</c:f>
              <c:strCache>
                <c:ptCount val="5"/>
                <c:pt idx="0">
                  <c:v>Planning &amp; Requirement Analysis</c:v>
                </c:pt>
                <c:pt idx="1">
                  <c:v>System &amp; Interface Design Phase</c:v>
                </c:pt>
                <c:pt idx="2">
                  <c:v>Software Development Phase (Coding)</c:v>
                </c:pt>
                <c:pt idx="3">
                  <c:v>Testing &amp; Quality Assurance Phase</c:v>
                </c:pt>
                <c:pt idx="4">
                  <c:v>Total Cost</c:v>
                </c:pt>
              </c:strCache>
            </c:strRef>
          </c:cat>
          <c:val>
            <c:numRef>
              <c:f>Sheet1!$C$12:$C$16</c:f>
              <c:numCache>
                <c:formatCode>General</c:formatCode>
                <c:ptCount val="5"/>
                <c:pt idx="0">
                  <c:v>152</c:v>
                </c:pt>
                <c:pt idx="1">
                  <c:v>136</c:v>
                </c:pt>
                <c:pt idx="2">
                  <c:v>248</c:v>
                </c:pt>
                <c:pt idx="3">
                  <c:v>148</c:v>
                </c:pt>
                <c:pt idx="4">
                  <c:v>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A-4843-9F43-58946C1A76F1}"/>
            </c:ext>
          </c:extLst>
        </c:ser>
        <c:ser>
          <c:idx val="1"/>
          <c:order val="1"/>
          <c:tx>
            <c:strRef>
              <c:f>Sheet1!$D$9:$D$11</c:f>
              <c:strCache>
                <c:ptCount val="3"/>
                <c:pt idx="0">
                  <c:v>A- Task Cost Estimation</c:v>
                </c:pt>
                <c:pt idx="2">
                  <c:v>Rate  Per Hours($)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Sheet1!$B$12:$B$16</c:f>
              <c:strCache>
                <c:ptCount val="5"/>
                <c:pt idx="0">
                  <c:v>Planning &amp; Requirement Analysis</c:v>
                </c:pt>
                <c:pt idx="1">
                  <c:v>System &amp; Interface Design Phase</c:v>
                </c:pt>
                <c:pt idx="2">
                  <c:v>Software Development Phase (Coding)</c:v>
                </c:pt>
                <c:pt idx="3">
                  <c:v>Testing &amp; Quality Assurance Phase</c:v>
                </c:pt>
                <c:pt idx="4">
                  <c:v>Total Cost</c:v>
                </c:pt>
              </c:strCache>
            </c:strRef>
          </c:cat>
          <c:val>
            <c:numRef>
              <c:f>Sheet1!$D$12:$D$16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BA-4843-9F43-58946C1A76F1}"/>
            </c:ext>
          </c:extLst>
        </c:ser>
        <c:ser>
          <c:idx val="2"/>
          <c:order val="2"/>
          <c:tx>
            <c:strRef>
              <c:f>Sheet1!$E$9:$E$11</c:f>
              <c:strCache>
                <c:ptCount val="3"/>
                <c:pt idx="0">
                  <c:v>A- Task Cost Estimation</c:v>
                </c:pt>
                <c:pt idx="2">
                  <c:v>Total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Sheet1!$B$12:$B$16</c:f>
              <c:strCache>
                <c:ptCount val="5"/>
                <c:pt idx="0">
                  <c:v>Planning &amp; Requirement Analysis</c:v>
                </c:pt>
                <c:pt idx="1">
                  <c:v>System &amp; Interface Design Phase</c:v>
                </c:pt>
                <c:pt idx="2">
                  <c:v>Software Development Phase (Coding)</c:v>
                </c:pt>
                <c:pt idx="3">
                  <c:v>Testing &amp; Quality Assurance Phase</c:v>
                </c:pt>
                <c:pt idx="4">
                  <c:v>Total Cost</c:v>
                </c:pt>
              </c:strCache>
            </c:strRef>
          </c:cat>
          <c:val>
            <c:numRef>
              <c:f>Sheet1!$E$12:$E$16</c:f>
              <c:numCache>
                <c:formatCode>General</c:formatCode>
                <c:ptCount val="5"/>
                <c:pt idx="0">
                  <c:v>7600</c:v>
                </c:pt>
                <c:pt idx="1">
                  <c:v>8160</c:v>
                </c:pt>
                <c:pt idx="2">
                  <c:v>17360</c:v>
                </c:pt>
                <c:pt idx="3">
                  <c:v>11100</c:v>
                </c:pt>
                <c:pt idx="4">
                  <c:v>44220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BA-4843-9F43-58946C1A7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276383"/>
        <c:axId val="553275551"/>
      </c:barChart>
      <c:catAx>
        <c:axId val="55327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75551"/>
        <c:crosses val="autoZero"/>
        <c:auto val="1"/>
        <c:lblAlgn val="ctr"/>
        <c:lblOffset val="100"/>
        <c:noMultiLvlLbl val="0"/>
      </c:catAx>
      <c:valAx>
        <c:axId val="5532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7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304209</xdr:colOff>
      <xdr:row>33</xdr:row>
      <xdr:rowOff>87423</xdr:rowOff>
    </xdr:from>
    <xdr:to>
      <xdr:col>10</xdr:col>
      <xdr:colOff>85651</xdr:colOff>
      <xdr:row>47</xdr:row>
      <xdr:rowOff>18902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641F7-A501-4DDE-B772-EDDCD2503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481419</xdr:colOff>
      <xdr:row>2</xdr:row>
      <xdr:rowOff>158307</xdr:rowOff>
    </xdr:from>
    <xdr:to>
      <xdr:col>21</xdr:col>
      <xdr:colOff>186070</xdr:colOff>
      <xdr:row>16</xdr:row>
      <xdr:rowOff>1181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B8921A-B9AC-40E5-A871-22C021BE4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73838</xdr:colOff>
      <xdr:row>2</xdr:row>
      <xdr:rowOff>134680</xdr:rowOff>
    </xdr:from>
    <xdr:to>
      <xdr:col>13</xdr:col>
      <xdr:colOff>386908</xdr:colOff>
      <xdr:row>15</xdr:row>
      <xdr:rowOff>178391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9CCCCC-1C2A-409C-8EEF-F775BBA06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46C1-3B2D-492E-8D32-A325CBB98331}">
  <dimension ref="A1:G37"/>
  <sheetViews>
    <sheetView tabSelected="1" topLeftCell="B1" zoomScale="129" workbookViewId="0">
      <selection activeCell="E5" sqref="E5"/>
    </sheetView>
  </sheetViews>
  <sheetFormatPr defaultRowHeight="15.6" x14ac:dyDescent="0.3"/>
  <cols>
    <col min="1" max="1" width="37.5546875" style="2" bestFit="1" customWidth="1"/>
    <col min="2" max="2" width="34.109375" style="2" bestFit="1" customWidth="1"/>
    <col min="3" max="3" width="15.109375" style="2" bestFit="1" customWidth="1"/>
    <col min="4" max="4" width="16.21875" style="2" bestFit="1" customWidth="1"/>
    <col min="5" max="5" width="22.77734375" style="2" bestFit="1" customWidth="1"/>
    <col min="6" max="16384" width="8.88671875" style="2"/>
  </cols>
  <sheetData>
    <row r="1" spans="1:5" x14ac:dyDescent="0.3">
      <c r="A1" s="1" t="s">
        <v>0</v>
      </c>
    </row>
    <row r="2" spans="1:5" s="8" customFormat="1" ht="18" x14ac:dyDescent="0.35">
      <c r="A2" s="7" t="s">
        <v>1</v>
      </c>
      <c r="B2" s="7" t="s">
        <v>2</v>
      </c>
      <c r="C2" s="7" t="s">
        <v>3</v>
      </c>
      <c r="D2" s="7" t="s">
        <v>4</v>
      </c>
    </row>
    <row r="3" spans="1:5" x14ac:dyDescent="0.3">
      <c r="A3" s="10" t="s">
        <v>5</v>
      </c>
      <c r="B3" s="3">
        <v>19</v>
      </c>
      <c r="C3" s="3">
        <v>8</v>
      </c>
      <c r="D3" s="3">
        <f>B3*C3</f>
        <v>152</v>
      </c>
    </row>
    <row r="4" spans="1:5" x14ac:dyDescent="0.3">
      <c r="A4" s="10" t="s">
        <v>6</v>
      </c>
      <c r="B4" s="3">
        <v>20</v>
      </c>
      <c r="C4" s="3">
        <v>8</v>
      </c>
      <c r="D4" s="3">
        <f>B4*C4</f>
        <v>160</v>
      </c>
    </row>
    <row r="5" spans="1:5" x14ac:dyDescent="0.3">
      <c r="A5" s="10" t="s">
        <v>7</v>
      </c>
      <c r="B5" s="3">
        <v>44</v>
      </c>
      <c r="C5" s="3">
        <v>8</v>
      </c>
      <c r="D5" s="3">
        <f>B5*C5</f>
        <v>352</v>
      </c>
    </row>
    <row r="6" spans="1:5" x14ac:dyDescent="0.3">
      <c r="A6" s="10" t="s">
        <v>8</v>
      </c>
      <c r="B6" s="3">
        <v>20</v>
      </c>
      <c r="C6" s="3">
        <v>8</v>
      </c>
      <c r="D6" s="3">
        <f>B6*C6</f>
        <v>160</v>
      </c>
    </row>
    <row r="7" spans="1:5" x14ac:dyDescent="0.3">
      <c r="A7" s="4"/>
      <c r="B7" s="4"/>
      <c r="C7" s="4"/>
      <c r="D7" s="4"/>
    </row>
    <row r="9" spans="1:5" s="9" customFormat="1" ht="18" x14ac:dyDescent="0.35">
      <c r="B9" s="11" t="s">
        <v>9</v>
      </c>
      <c r="C9" s="11"/>
      <c r="D9" s="11"/>
      <c r="E9" s="11"/>
    </row>
    <row r="10" spans="1:5" s="9" customFormat="1" ht="18" x14ac:dyDescent="0.35">
      <c r="B10" s="11"/>
      <c r="C10" s="11"/>
      <c r="D10" s="11"/>
      <c r="E10" s="11"/>
    </row>
    <row r="11" spans="1:5" s="9" customFormat="1" ht="18" x14ac:dyDescent="0.35">
      <c r="B11" s="7" t="s">
        <v>10</v>
      </c>
      <c r="C11" s="7" t="s">
        <v>11</v>
      </c>
      <c r="D11" s="7" t="s">
        <v>12</v>
      </c>
      <c r="E11" s="7" t="s">
        <v>13</v>
      </c>
    </row>
    <row r="12" spans="1:5" x14ac:dyDescent="0.3">
      <c r="B12" s="10" t="s">
        <v>5</v>
      </c>
      <c r="C12" s="3">
        <v>152</v>
      </c>
      <c r="D12" s="3">
        <v>50</v>
      </c>
      <c r="E12" s="3">
        <f>C12*D12</f>
        <v>7600</v>
      </c>
    </row>
    <row r="13" spans="1:5" x14ac:dyDescent="0.3">
      <c r="B13" s="10" t="s">
        <v>6</v>
      </c>
      <c r="C13" s="3">
        <v>136</v>
      </c>
      <c r="D13" s="3">
        <v>60</v>
      </c>
      <c r="E13" s="3">
        <f t="shared" ref="E13:E15" si="0">C13*D13</f>
        <v>8160</v>
      </c>
    </row>
    <row r="14" spans="1:5" x14ac:dyDescent="0.3">
      <c r="B14" s="10" t="s">
        <v>7</v>
      </c>
      <c r="C14" s="3">
        <v>248</v>
      </c>
      <c r="D14" s="3">
        <v>70</v>
      </c>
      <c r="E14" s="3">
        <f t="shared" si="0"/>
        <v>17360</v>
      </c>
    </row>
    <row r="15" spans="1:5" x14ac:dyDescent="0.3">
      <c r="B15" s="10" t="s">
        <v>8</v>
      </c>
      <c r="C15" s="3">
        <v>148</v>
      </c>
      <c r="D15" s="3">
        <v>75</v>
      </c>
      <c r="E15" s="3">
        <f t="shared" si="0"/>
        <v>11100</v>
      </c>
    </row>
    <row r="16" spans="1:5" x14ac:dyDescent="0.3">
      <c r="B16" s="1" t="s">
        <v>13</v>
      </c>
      <c r="C16" s="3">
        <f>SUM(C12:C15)</f>
        <v>684</v>
      </c>
      <c r="D16" s="3"/>
      <c r="E16" s="5">
        <f>SUM(E12:E15)</f>
        <v>44220</v>
      </c>
    </row>
    <row r="20" spans="2:7" ht="18" x14ac:dyDescent="0.3">
      <c r="B20" s="11" t="s">
        <v>14</v>
      </c>
      <c r="C20" s="11"/>
      <c r="D20" s="11"/>
      <c r="E20" s="11"/>
      <c r="F20" s="11"/>
      <c r="G20" s="11"/>
    </row>
    <row r="21" spans="2:7" ht="18" x14ac:dyDescent="0.3">
      <c r="B21" s="11"/>
      <c r="C21" s="11"/>
      <c r="D21" s="11"/>
      <c r="E21" s="11"/>
      <c r="F21" s="11"/>
      <c r="G21" s="11"/>
    </row>
    <row r="22" spans="2:7" s="9" customFormat="1" ht="18" x14ac:dyDescent="0.35">
      <c r="B22" s="7" t="s">
        <v>15</v>
      </c>
      <c r="C22" s="7" t="s">
        <v>16</v>
      </c>
      <c r="D22" s="7" t="s">
        <v>17</v>
      </c>
      <c r="E22" s="7" t="s">
        <v>18</v>
      </c>
      <c r="F22" s="7" t="s">
        <v>19</v>
      </c>
      <c r="G22" s="7" t="s">
        <v>20</v>
      </c>
    </row>
    <row r="23" spans="2:7" x14ac:dyDescent="0.3">
      <c r="B23" s="6" t="s">
        <v>21</v>
      </c>
      <c r="C23" s="3">
        <f>E23/D23</f>
        <v>24</v>
      </c>
      <c r="D23" s="3">
        <v>8</v>
      </c>
      <c r="E23" s="3">
        <v>192</v>
      </c>
      <c r="F23" s="3">
        <v>5000</v>
      </c>
      <c r="G23" s="3">
        <f>F23*E23</f>
        <v>960000</v>
      </c>
    </row>
    <row r="24" spans="2:7" x14ac:dyDescent="0.3">
      <c r="B24" s="6" t="s">
        <v>22</v>
      </c>
      <c r="C24" s="3">
        <f>E24/D24</f>
        <v>4</v>
      </c>
      <c r="D24" s="3">
        <v>8</v>
      </c>
      <c r="E24" s="3">
        <v>32</v>
      </c>
      <c r="F24" s="3">
        <v>2000</v>
      </c>
      <c r="G24" s="3">
        <f>F24*E24</f>
        <v>64000</v>
      </c>
    </row>
    <row r="25" spans="2:7" x14ac:dyDescent="0.3">
      <c r="B25" s="6" t="s">
        <v>23</v>
      </c>
      <c r="C25" s="3">
        <f>E25/D25</f>
        <v>16</v>
      </c>
      <c r="D25" s="3">
        <v>8</v>
      </c>
      <c r="E25" s="3">
        <v>128</v>
      </c>
      <c r="F25" s="3">
        <v>3000</v>
      </c>
      <c r="G25" s="3">
        <f>F25*E25</f>
        <v>384000</v>
      </c>
    </row>
    <row r="26" spans="2:7" x14ac:dyDescent="0.3">
      <c r="B26" s="6" t="s">
        <v>24</v>
      </c>
      <c r="C26" s="3">
        <f>E26/D26</f>
        <v>15</v>
      </c>
      <c r="D26" s="3">
        <v>8</v>
      </c>
      <c r="E26" s="3">
        <v>120</v>
      </c>
      <c r="F26" s="3">
        <v>3000</v>
      </c>
      <c r="G26" s="3">
        <f>F26*E26</f>
        <v>360000</v>
      </c>
    </row>
    <row r="27" spans="2:7" x14ac:dyDescent="0.3">
      <c r="B27" s="6" t="s">
        <v>25</v>
      </c>
      <c r="C27" s="3">
        <f>E27/D27</f>
        <v>3.5</v>
      </c>
      <c r="D27" s="3">
        <v>8</v>
      </c>
      <c r="E27" s="3">
        <v>28</v>
      </c>
      <c r="F27" s="3">
        <v>6000</v>
      </c>
      <c r="G27" s="3">
        <f>F27*E27</f>
        <v>168000</v>
      </c>
    </row>
    <row r="28" spans="2:7" x14ac:dyDescent="0.3">
      <c r="B28" s="6" t="s">
        <v>26</v>
      </c>
      <c r="C28" s="3">
        <f>E28/D28</f>
        <v>14.5</v>
      </c>
      <c r="D28" s="3">
        <v>8</v>
      </c>
      <c r="E28" s="3">
        <v>116</v>
      </c>
      <c r="F28" s="3">
        <v>7000</v>
      </c>
      <c r="G28" s="3">
        <f>F28*E28</f>
        <v>812000</v>
      </c>
    </row>
    <row r="29" spans="2:7" x14ac:dyDescent="0.3">
      <c r="B29" s="6" t="s">
        <v>27</v>
      </c>
      <c r="C29" s="3">
        <f>E29/D29</f>
        <v>5.5</v>
      </c>
      <c r="D29" s="3">
        <v>8</v>
      </c>
      <c r="E29" s="3">
        <v>44</v>
      </c>
      <c r="F29" s="3">
        <v>1000</v>
      </c>
      <c r="G29" s="3">
        <f>F29*E29</f>
        <v>44000</v>
      </c>
    </row>
    <row r="30" spans="2:7" x14ac:dyDescent="0.3">
      <c r="B30" s="6" t="s">
        <v>28</v>
      </c>
      <c r="C30" s="3">
        <f>E30/D30</f>
        <v>6</v>
      </c>
      <c r="D30" s="3">
        <v>8</v>
      </c>
      <c r="E30" s="3">
        <v>48</v>
      </c>
      <c r="F30" s="3">
        <v>4000</v>
      </c>
      <c r="G30" s="3">
        <f>F30*E30</f>
        <v>192000</v>
      </c>
    </row>
    <row r="31" spans="2:7" x14ac:dyDescent="0.3">
      <c r="B31" s="1" t="s">
        <v>13</v>
      </c>
      <c r="C31" s="3"/>
      <c r="D31" s="3"/>
      <c r="E31" s="3"/>
      <c r="F31" s="3"/>
      <c r="G31" s="5">
        <f>SUM(G23:G30)</f>
        <v>2984000</v>
      </c>
    </row>
    <row r="35" spans="2:3" x14ac:dyDescent="0.3">
      <c r="B35" s="3" t="s">
        <v>29</v>
      </c>
      <c r="C35" s="3">
        <f>E16</f>
        <v>44220</v>
      </c>
    </row>
    <row r="36" spans="2:3" x14ac:dyDescent="0.3">
      <c r="B36" s="3" t="s">
        <v>30</v>
      </c>
      <c r="C36" s="3">
        <f>G31</f>
        <v>2984000</v>
      </c>
    </row>
    <row r="37" spans="2:3" x14ac:dyDescent="0.3">
      <c r="B37" s="1" t="s">
        <v>31</v>
      </c>
      <c r="C37" s="5">
        <f>SUM(C35:C36)</f>
        <v>3028220</v>
      </c>
    </row>
  </sheetData>
  <mergeCells count="2">
    <mergeCell ref="B9:E10"/>
    <mergeCell ref="B20:G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</dc:creator>
  <cp:lastModifiedBy>GIFT</cp:lastModifiedBy>
  <dcterms:created xsi:type="dcterms:W3CDTF">2026-07-15T14:35:38Z</dcterms:created>
  <dcterms:modified xsi:type="dcterms:W3CDTF">2026-07-15T15:49:25Z</dcterms:modified>
</cp:coreProperties>
</file>