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GIFT\Downloads\"/>
    </mc:Choice>
  </mc:AlternateContent>
  <xr:revisionPtr revIDLastSave="0" documentId="13_ncr:1_{B000B85F-76D3-4542-BE30-B8765629E14C}" xr6:coauthVersionLast="47" xr6:coauthVersionMax="47" xr10:uidLastSave="{00000000-0000-0000-0000-000000000000}"/>
  <bookViews>
    <workbookView xWindow="216" yWindow="0" windowWidth="10872" windowHeight="12240" firstSheet="3" activeTab="3" xr2:uid="{00000000-000D-0000-FFFF-FFFF00000000}"/>
  </bookViews>
  <sheets>
    <sheet name="Resource List" sheetId="1" r:id="rId1"/>
    <sheet name="Assigned Tasks" sheetId="2" r:id="rId2"/>
    <sheet name="Working Hours" sheetId="3" r:id="rId3"/>
    <sheet name="Overallocation Details" sheetId="4" r:id="rId4"/>
    <sheet name="Solution Applied"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3" l="1"/>
  <c r="F9" i="3"/>
  <c r="F8" i="3"/>
  <c r="F7" i="3"/>
  <c r="F6" i="3"/>
  <c r="F5" i="3"/>
  <c r="F4" i="3"/>
  <c r="F3" i="3"/>
</calcChain>
</file>

<file path=xl/sharedStrings.xml><?xml version="1.0" encoding="utf-8"?>
<sst xmlns="http://schemas.openxmlformats.org/spreadsheetml/2006/main" count="211" uniqueCount="113">
  <si>
    <t>Resource ID</t>
  </si>
  <si>
    <t>Resource Name</t>
  </si>
  <si>
    <t>Type</t>
  </si>
  <si>
    <t>Max Units</t>
  </si>
  <si>
    <t>Std Rate</t>
  </si>
  <si>
    <t>Overallocated</t>
  </si>
  <si>
    <t>R01</t>
  </si>
  <si>
    <t>Work</t>
  </si>
  <si>
    <t>No</t>
  </si>
  <si>
    <t>R02</t>
  </si>
  <si>
    <t>Hadia Nasir (PM)</t>
  </si>
  <si>
    <t>R03</t>
  </si>
  <si>
    <t>Haider Zaman (Developer)</t>
  </si>
  <si>
    <t>R04</t>
  </si>
  <si>
    <t>All Members</t>
  </si>
  <si>
    <t>R05</t>
  </si>
  <si>
    <t>Ahmad Khan (UI/UX)</t>
  </si>
  <si>
    <t>R06</t>
  </si>
  <si>
    <t>Muneeb Akram (Backend)</t>
  </si>
  <si>
    <t>R07</t>
  </si>
  <si>
    <t>Development Team</t>
  </si>
  <si>
    <t>R08</t>
  </si>
  <si>
    <t>Haider Zaman (Full-Stack)</t>
  </si>
  <si>
    <t>Yes</t>
  </si>
  <si>
    <t>R09</t>
  </si>
  <si>
    <t>Ahmad Khan (Frontend)</t>
  </si>
  <si>
    <t>Hadia Nasir (QA)</t>
  </si>
  <si>
    <t>Task ID</t>
  </si>
  <si>
    <t>Task Name</t>
  </si>
  <si>
    <t>Duration</t>
  </si>
  <si>
    <t>Start Date</t>
  </si>
  <si>
    <t>End Date</t>
  </si>
  <si>
    <t>Assigned Resource</t>
  </si>
  <si>
    <t>Planning &amp; Requirement Analysis</t>
  </si>
  <si>
    <t>19 days</t>
  </si>
  <si>
    <t>Requirement Gathering &amp; Interviews</t>
  </si>
  <si>
    <t>5 days</t>
  </si>
  <si>
    <t>Interview Gym Owners &amp; Admins</t>
  </si>
  <si>
    <t>2 days</t>
  </si>
  <si>
    <t>Define Trainer &amp; Member Expectations</t>
  </si>
  <si>
    <t>3 days</t>
  </si>
  <si>
    <t>Feasibility Study &amp; Payment Exploration</t>
  </si>
  <si>
    <t>4 days</t>
  </si>
  <si>
    <t>Finalize Project Scope Document</t>
  </si>
  <si>
    <t>Milestone: Project Charter Approved</t>
  </si>
  <si>
    <t>0 days</t>
  </si>
  <si>
    <t>System &amp; Interface Design Phase</t>
  </si>
  <si>
    <t>20 days</t>
  </si>
  <si>
    <t>Architectural Design &amp; ER Diagram</t>
  </si>
  <si>
    <t>UI/UX Wireframing &amp; Prototyping</t>
  </si>
  <si>
    <t>8 days</t>
  </si>
  <si>
    <t>Design Gym Admin Dashboard Mockup</t>
  </si>
  <si>
    <t>Design Trainer &amp; Member Interfaces</t>
  </si>
  <si>
    <t>Design Checkout / Payment Portal</t>
  </si>
  <si>
    <t>Milestone: UI Wireframes Frozen</t>
  </si>
  <si>
    <t>Software Development Phase (Coding)</t>
  </si>
  <si>
    <t>44 days</t>
  </si>
  <si>
    <t>Core Database Setup &amp; Configuration</t>
  </si>
  <si>
    <t>User Authentication Secure Registration</t>
  </si>
  <si>
    <t>6 days</t>
  </si>
  <si>
    <t>Implement Verified Sign-up Process</t>
  </si>
  <si>
    <t>Configure Role-Based Dashboard Access</t>
  </si>
  <si>
    <t>Gym Admin &amp; Member Management Panel</t>
  </si>
  <si>
    <t>7 days</t>
  </si>
  <si>
    <t>Workout &amp; Exercise Assignment Module</t>
  </si>
  <si>
    <t>Billing &amp; Online Payment Integration</t>
  </si>
  <si>
    <t>9 days</t>
  </si>
  <si>
    <t>Integrate JazzCash API &amp; Bank Uploads</t>
  </si>
  <si>
    <t>Develop Automated 7-Day Fee Reminders</t>
  </si>
  <si>
    <t>Testing &amp; Quality Assurance Phase</t>
  </si>
  <si>
    <t>Write Comprehensive Test Cases</t>
  </si>
  <si>
    <t>Unit and Integration Testing</t>
  </si>
  <si>
    <t>Payment Gateways Verification Testing</t>
  </si>
  <si>
    <t>Deployment &amp; Closure Phase</t>
  </si>
  <si>
    <t>Server Hosting Setup &amp; Final Deployment</t>
  </si>
  <si>
    <t>User Documentation &amp; Admin Training</t>
  </si>
  <si>
    <t>Milestone: System Live &amp; Handed Over</t>
  </si>
  <si>
    <t>Role</t>
  </si>
  <si>
    <t>Total Tasks Assigned</t>
  </si>
  <si>
    <t>Total Working Days</t>
  </si>
  <si>
    <t>Hours/Day</t>
  </si>
  <si>
    <t>Total Hours</t>
  </si>
  <si>
    <t>Project Manager</t>
  </si>
  <si>
    <t>QA Lead</t>
  </si>
  <si>
    <t>UI/UX Designer</t>
  </si>
  <si>
    <t>Frontend Developer</t>
  </si>
  <si>
    <t>Backend Developer</t>
  </si>
  <si>
    <t>Developer</t>
  </si>
  <si>
    <t>Full-Stack Dev</t>
  </si>
  <si>
    <t>Mixed</t>
  </si>
  <si>
    <t>Milestone</t>
  </si>
  <si>
    <t>Conflicting Tasks</t>
  </si>
  <si>
    <t>Overlap Period</t>
  </si>
  <si>
    <t>Reason</t>
  </si>
  <si>
    <t>N/A</t>
  </si>
  <si>
    <t>Max Units increased to 100%. No overallocation.</t>
  </si>
  <si>
    <t>Task 3.2 + Task 3.3 + Task 3.7 + Task 3.8 + Task 3.9 + Task 4.5</t>
  </si>
  <si>
    <t>05-Aug-26 to 26-Oct-26</t>
  </si>
  <si>
    <t>Haider Zaman has only 50% availability but assigned to 6 tasks across development and deployment phases. At 50% max units, workload exceeds his available capacity.</t>
  </si>
  <si>
    <t>Tasks are scheduled sequentially. No overallocation detected.</t>
  </si>
  <si>
    <t>Overallocated Task(s)</t>
  </si>
  <si>
    <t>Resolution Method</t>
  </si>
  <si>
    <t>Action Taken</t>
  </si>
  <si>
    <t>Task 3.2 + 3.3 + 3.7 + 3.8 + 3.9 + 4.5 — 50% Max Units causing overallocation</t>
  </si>
  <si>
    <t>Manual Resource Allocation</t>
  </si>
  <si>
    <t>The Resource Sheet shows that the resource has a maximum allocation limit of 50% (Max Units). However, the Gantt Chart identified an overallocation because the assigned workload exceeded this limit. The conflict was resolved using the Manual Resource Allocation technique by reducing the workload to 50%.</t>
  </si>
  <si>
    <t>$1000.00/hr</t>
  </si>
  <si>
    <t>$2000.00/hr</t>
  </si>
  <si>
    <t>$5000.00/hr</t>
  </si>
  <si>
    <t>$3000.00/hr</t>
  </si>
  <si>
    <t>$6000.00/hr</t>
  </si>
  <si>
    <t>$7000.00/hr</t>
  </si>
  <si>
    <t>$4000.00/hr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</si>
</sst>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0" fillId="0" borderId="1" xfId="0" applyBorder="1"/>
    <xf numFmtId="164" fontId="0" fillId="0" borderId="1" xfId="0" applyNumberFormat="1" applyBorder="1"/>
    <xf numFmtId="0" fontId="0" fillId="0" borderId="1" xfId="0" applyBorder="1" applyAlignment="1">
      <alignment vertical="top" wrapText="1"/>
    </xf>
    <xf numFmtId="0" fontId="0" fillId="0" borderId="1" xfId="0" applyNumberFormat="1" applyBorder="1"/>
    <xf numFmtId="9" fontId="0" fillId="0" borderId="1" xfId="0" applyNumberFormat="1" applyBorder="1"/>
    <xf numFmtId="0" fontId="0" fillId="0" borderId="1" xfId="0" applyNumberFormat="1" applyBorder="1" applyAlignment="1">
      <alignment horizontal="left" indent="2"/>
    </xf>
    <xf numFmtId="0" fontId="0" fillId="0" borderId="1" xfId="0" applyNumberFormat="1" applyBorder="1" applyAlignment="1">
      <alignment horizontal="left" indent="1"/>
    </xf>
    <xf numFmtId="0" fontId="0" fillId="0" borderId="1" xfId="0" applyNumberFormat="1" applyBorder="1" applyAlignment="1">
      <alignment horizontal="center"/>
    </xf>
    <xf numFmtId="9" fontId="0" fillId="0" borderId="1" xfId="0" applyNumberForma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workbookViewId="0">
      <selection activeCell="E16" sqref="E16"/>
    </sheetView>
  </sheetViews>
  <sheetFormatPr defaultRowHeight="14.4" x14ac:dyDescent="0.3"/>
  <cols>
    <col min="1" max="1" width="11.44140625" bestFit="1" customWidth="1"/>
    <col min="2" max="2" width="28" customWidth="1"/>
    <col min="3" max="3" width="10" customWidth="1"/>
    <col min="4" max="4" width="12" customWidth="1"/>
    <col min="5" max="6" width="14" customWidth="1"/>
  </cols>
  <sheetData>
    <row r="1" spans="1:6" x14ac:dyDescent="0.3">
      <c r="A1" s="1" t="s">
        <v>0</v>
      </c>
      <c r="B1" s="1" t="s">
        <v>1</v>
      </c>
      <c r="C1" s="1" t="s">
        <v>2</v>
      </c>
      <c r="D1" s="1" t="s">
        <v>3</v>
      </c>
      <c r="E1" s="1" t="s">
        <v>4</v>
      </c>
      <c r="F1" s="1" t="s">
        <v>5</v>
      </c>
    </row>
    <row r="2" spans="1:6" x14ac:dyDescent="0.3">
      <c r="A2" s="2" t="s">
        <v>6</v>
      </c>
      <c r="B2" s="2" t="s">
        <v>10</v>
      </c>
      <c r="C2" s="2" t="s">
        <v>7</v>
      </c>
      <c r="D2" s="6">
        <v>1</v>
      </c>
      <c r="E2" s="2" t="s">
        <v>108</v>
      </c>
      <c r="F2" s="2" t="s">
        <v>8</v>
      </c>
    </row>
    <row r="3" spans="1:6" x14ac:dyDescent="0.3">
      <c r="A3" s="2" t="s">
        <v>9</v>
      </c>
      <c r="B3" s="2" t="s">
        <v>12</v>
      </c>
      <c r="C3" s="2" t="s">
        <v>7</v>
      </c>
      <c r="D3" s="6">
        <v>1</v>
      </c>
      <c r="E3" s="2" t="s">
        <v>107</v>
      </c>
      <c r="F3" s="2" t="s">
        <v>8</v>
      </c>
    </row>
    <row r="4" spans="1:6" x14ac:dyDescent="0.3">
      <c r="A4" s="2" t="s">
        <v>11</v>
      </c>
      <c r="B4" s="2" t="s">
        <v>14</v>
      </c>
      <c r="C4" s="2" t="s">
        <v>7</v>
      </c>
      <c r="D4" s="6">
        <v>1</v>
      </c>
      <c r="E4" s="2" t="s">
        <v>106</v>
      </c>
      <c r="F4" s="2" t="s">
        <v>8</v>
      </c>
    </row>
    <row r="5" spans="1:6" x14ac:dyDescent="0.3">
      <c r="A5" s="2" t="s">
        <v>13</v>
      </c>
      <c r="B5" s="2" t="s">
        <v>16</v>
      </c>
      <c r="C5" s="2" t="s">
        <v>7</v>
      </c>
      <c r="D5" s="6">
        <v>1</v>
      </c>
      <c r="E5" s="2" t="s">
        <v>109</v>
      </c>
      <c r="F5" s="2" t="s">
        <v>8</v>
      </c>
    </row>
    <row r="6" spans="1:6" x14ac:dyDescent="0.3">
      <c r="A6" s="2" t="s">
        <v>15</v>
      </c>
      <c r="B6" s="2" t="s">
        <v>18</v>
      </c>
      <c r="C6" s="2" t="s">
        <v>7</v>
      </c>
      <c r="D6" s="6">
        <v>1</v>
      </c>
      <c r="E6" s="2" t="s">
        <v>109</v>
      </c>
      <c r="F6" s="2" t="s">
        <v>8</v>
      </c>
    </row>
    <row r="7" spans="1:6" x14ac:dyDescent="0.3">
      <c r="A7" s="2" t="s">
        <v>17</v>
      </c>
      <c r="B7" s="2" t="s">
        <v>20</v>
      </c>
      <c r="C7" s="2" t="s">
        <v>7</v>
      </c>
      <c r="D7" s="6">
        <v>1</v>
      </c>
      <c r="E7" s="2" t="s">
        <v>110</v>
      </c>
      <c r="F7" s="2" t="s">
        <v>8</v>
      </c>
    </row>
    <row r="8" spans="1:6" x14ac:dyDescent="0.3">
      <c r="A8" s="2" t="s">
        <v>19</v>
      </c>
      <c r="B8" s="2" t="s">
        <v>22</v>
      </c>
      <c r="C8" s="2" t="s">
        <v>7</v>
      </c>
      <c r="D8" s="6">
        <v>0.5</v>
      </c>
      <c r="E8" s="2" t="s">
        <v>111</v>
      </c>
      <c r="F8" s="2" t="s">
        <v>23</v>
      </c>
    </row>
    <row r="9" spans="1:6" x14ac:dyDescent="0.3">
      <c r="A9" s="2" t="s">
        <v>21</v>
      </c>
      <c r="B9" s="2" t="s">
        <v>25</v>
      </c>
      <c r="C9" s="2" t="s">
        <v>7</v>
      </c>
      <c r="D9" s="6">
        <v>1</v>
      </c>
      <c r="E9" s="2" t="s">
        <v>106</v>
      </c>
      <c r="F9" s="2" t="s">
        <v>8</v>
      </c>
    </row>
    <row r="10" spans="1:6" x14ac:dyDescent="0.3">
      <c r="A10" s="2" t="s">
        <v>24</v>
      </c>
      <c r="B10" s="2" t="s">
        <v>26</v>
      </c>
      <c r="C10" s="2" t="s">
        <v>7</v>
      </c>
      <c r="D10" s="6">
        <v>1</v>
      </c>
      <c r="E10" s="2" t="s">
        <v>112</v>
      </c>
      <c r="F10" s="2" t="s">
        <v>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workbookViewId="0">
      <selection activeCell="A3" sqref="A3"/>
    </sheetView>
  </sheetViews>
  <sheetFormatPr defaultRowHeight="14.4" x14ac:dyDescent="0.3"/>
  <cols>
    <col min="1" max="1" width="10" customWidth="1"/>
    <col min="2" max="2" width="44" customWidth="1"/>
    <col min="3" max="3" width="12" customWidth="1"/>
    <col min="4" max="5" width="13" customWidth="1"/>
    <col min="6" max="6" width="26" customWidth="1"/>
  </cols>
  <sheetData>
    <row r="1" spans="1:6" x14ac:dyDescent="0.3">
      <c r="A1" s="1" t="s">
        <v>27</v>
      </c>
      <c r="B1" s="1" t="s">
        <v>28</v>
      </c>
      <c r="C1" s="1" t="s">
        <v>29</v>
      </c>
      <c r="D1" s="1" t="s">
        <v>30</v>
      </c>
      <c r="E1" s="1" t="s">
        <v>31</v>
      </c>
      <c r="F1" s="1" t="s">
        <v>32</v>
      </c>
    </row>
    <row r="2" spans="1:6" x14ac:dyDescent="0.3">
      <c r="A2" s="8">
        <v>1</v>
      </c>
      <c r="B2" s="1" t="s">
        <v>33</v>
      </c>
      <c r="C2" s="2" t="s">
        <v>34</v>
      </c>
      <c r="D2" s="3">
        <v>46181</v>
      </c>
      <c r="E2" s="3">
        <v>46205</v>
      </c>
      <c r="F2" s="2" t="s">
        <v>10</v>
      </c>
    </row>
    <row r="3" spans="1:6" x14ac:dyDescent="0.3">
      <c r="A3" s="9">
        <v>1.1000000000000001</v>
      </c>
      <c r="B3" s="2" t="s">
        <v>35</v>
      </c>
      <c r="C3" s="2" t="s">
        <v>36</v>
      </c>
      <c r="D3" s="3">
        <v>46181</v>
      </c>
      <c r="E3" s="3">
        <v>46185</v>
      </c>
      <c r="F3" s="2" t="s">
        <v>10</v>
      </c>
    </row>
    <row r="4" spans="1:6" x14ac:dyDescent="0.3">
      <c r="A4" s="7">
        <v>1.2</v>
      </c>
      <c r="B4" s="2" t="s">
        <v>37</v>
      </c>
      <c r="C4" s="2" t="s">
        <v>38</v>
      </c>
      <c r="D4" s="3">
        <v>46188</v>
      </c>
      <c r="E4" s="3">
        <v>46189</v>
      </c>
      <c r="F4" s="2" t="s">
        <v>10</v>
      </c>
    </row>
    <row r="5" spans="1:6" x14ac:dyDescent="0.3">
      <c r="A5" s="7">
        <v>1.3</v>
      </c>
      <c r="B5" s="2" t="s">
        <v>39</v>
      </c>
      <c r="C5" s="2" t="s">
        <v>40</v>
      </c>
      <c r="D5" s="3">
        <v>46190</v>
      </c>
      <c r="E5" s="3">
        <v>46192</v>
      </c>
      <c r="F5" s="2" t="s">
        <v>10</v>
      </c>
    </row>
    <row r="6" spans="1:6" x14ac:dyDescent="0.3">
      <c r="A6" s="7">
        <v>1.4</v>
      </c>
      <c r="B6" s="2" t="s">
        <v>41</v>
      </c>
      <c r="C6" s="2" t="s">
        <v>42</v>
      </c>
      <c r="D6" s="3">
        <v>46195</v>
      </c>
      <c r="E6" s="3">
        <v>46198</v>
      </c>
      <c r="F6" s="2" t="s">
        <v>12</v>
      </c>
    </row>
    <row r="7" spans="1:6" x14ac:dyDescent="0.3">
      <c r="A7" s="7">
        <v>1.5</v>
      </c>
      <c r="B7" s="2" t="s">
        <v>43</v>
      </c>
      <c r="C7" s="2" t="s">
        <v>36</v>
      </c>
      <c r="D7" s="3">
        <v>46199</v>
      </c>
      <c r="E7" s="3">
        <v>46205</v>
      </c>
      <c r="F7" s="2" t="s">
        <v>10</v>
      </c>
    </row>
    <row r="8" spans="1:6" x14ac:dyDescent="0.3">
      <c r="A8" s="7">
        <v>1.6</v>
      </c>
      <c r="B8" s="2" t="s">
        <v>44</v>
      </c>
      <c r="C8" s="2" t="s">
        <v>45</v>
      </c>
      <c r="D8" s="3">
        <v>46205</v>
      </c>
      <c r="E8" s="3">
        <v>46205</v>
      </c>
      <c r="F8" s="2" t="s">
        <v>14</v>
      </c>
    </row>
    <row r="9" spans="1:6" x14ac:dyDescent="0.3">
      <c r="A9" s="8">
        <v>2</v>
      </c>
      <c r="B9" s="1" t="s">
        <v>46</v>
      </c>
      <c r="C9" s="2" t="s">
        <v>47</v>
      </c>
      <c r="D9" s="3">
        <v>46206</v>
      </c>
      <c r="E9" s="3">
        <v>46233</v>
      </c>
      <c r="F9" s="2" t="s">
        <v>16</v>
      </c>
    </row>
    <row r="10" spans="1:6" x14ac:dyDescent="0.3">
      <c r="A10" s="7">
        <v>2.1</v>
      </c>
      <c r="B10" s="2" t="s">
        <v>48</v>
      </c>
      <c r="C10" s="2" t="s">
        <v>42</v>
      </c>
      <c r="D10" s="3">
        <v>46206</v>
      </c>
      <c r="E10" s="3">
        <v>46211</v>
      </c>
      <c r="F10" s="2" t="s">
        <v>18</v>
      </c>
    </row>
    <row r="11" spans="1:6" x14ac:dyDescent="0.3">
      <c r="A11" s="7">
        <v>2.2000000000000002</v>
      </c>
      <c r="B11" s="2" t="s">
        <v>49</v>
      </c>
      <c r="C11" s="2" t="s">
        <v>50</v>
      </c>
      <c r="D11" s="3">
        <v>46212</v>
      </c>
      <c r="E11" s="3">
        <v>46223</v>
      </c>
      <c r="F11" s="2" t="s">
        <v>16</v>
      </c>
    </row>
    <row r="12" spans="1:6" x14ac:dyDescent="0.3">
      <c r="A12" s="7">
        <v>2.2999999999999998</v>
      </c>
      <c r="B12" s="2" t="s">
        <v>51</v>
      </c>
      <c r="C12" s="2" t="s">
        <v>40</v>
      </c>
      <c r="D12" s="3">
        <v>46224</v>
      </c>
      <c r="E12" s="3">
        <v>46226</v>
      </c>
      <c r="F12" s="2" t="s">
        <v>16</v>
      </c>
    </row>
    <row r="13" spans="1:6" x14ac:dyDescent="0.3">
      <c r="A13" s="7">
        <v>2.4</v>
      </c>
      <c r="B13" s="2" t="s">
        <v>52</v>
      </c>
      <c r="C13" s="2" t="s">
        <v>40</v>
      </c>
      <c r="D13" s="3">
        <v>46227</v>
      </c>
      <c r="E13" s="3">
        <v>46231</v>
      </c>
      <c r="F13" s="2" t="s">
        <v>16</v>
      </c>
    </row>
    <row r="14" spans="1:6" x14ac:dyDescent="0.3">
      <c r="A14" s="7">
        <v>2.5</v>
      </c>
      <c r="B14" s="2" t="s">
        <v>53</v>
      </c>
      <c r="C14" s="2" t="s">
        <v>38</v>
      </c>
      <c r="D14" s="3">
        <v>46232</v>
      </c>
      <c r="E14" s="3">
        <v>46233</v>
      </c>
      <c r="F14" s="2" t="s">
        <v>16</v>
      </c>
    </row>
    <row r="15" spans="1:6" x14ac:dyDescent="0.3">
      <c r="A15" s="7">
        <v>2.6</v>
      </c>
      <c r="B15" s="2" t="s">
        <v>54</v>
      </c>
      <c r="C15" s="2" t="s">
        <v>45</v>
      </c>
      <c r="D15" s="3">
        <v>46233</v>
      </c>
      <c r="E15" s="3">
        <v>46233</v>
      </c>
      <c r="F15" s="2" t="s">
        <v>14</v>
      </c>
    </row>
    <row r="16" spans="1:6" x14ac:dyDescent="0.3">
      <c r="A16" s="8">
        <v>3</v>
      </c>
      <c r="B16" s="1" t="s">
        <v>55</v>
      </c>
      <c r="C16" s="2" t="s">
        <v>56</v>
      </c>
      <c r="D16" s="3">
        <v>46234</v>
      </c>
      <c r="E16" s="3">
        <v>46295</v>
      </c>
      <c r="F16" s="2" t="s">
        <v>20</v>
      </c>
    </row>
    <row r="17" spans="1:6" x14ac:dyDescent="0.3">
      <c r="A17" s="7">
        <v>3.1</v>
      </c>
      <c r="B17" s="2" t="s">
        <v>57</v>
      </c>
      <c r="C17" s="2" t="s">
        <v>40</v>
      </c>
      <c r="D17" s="3">
        <v>46234</v>
      </c>
      <c r="E17" s="3">
        <v>46238</v>
      </c>
      <c r="F17" s="2" t="s">
        <v>18</v>
      </c>
    </row>
    <row r="18" spans="1:6" x14ac:dyDescent="0.3">
      <c r="A18" s="7">
        <v>3.2</v>
      </c>
      <c r="B18" s="2" t="s">
        <v>58</v>
      </c>
      <c r="C18" s="2" t="s">
        <v>59</v>
      </c>
      <c r="D18" s="3">
        <v>46239</v>
      </c>
      <c r="E18" s="3">
        <v>46246</v>
      </c>
      <c r="F18" s="2" t="s">
        <v>22</v>
      </c>
    </row>
    <row r="19" spans="1:6" x14ac:dyDescent="0.3">
      <c r="A19" s="7">
        <v>3.3</v>
      </c>
      <c r="B19" s="2" t="s">
        <v>60</v>
      </c>
      <c r="C19" s="2" t="s">
        <v>40</v>
      </c>
      <c r="D19" s="3">
        <v>46247</v>
      </c>
      <c r="E19" s="3">
        <v>46251</v>
      </c>
      <c r="F19" s="2" t="s">
        <v>22</v>
      </c>
    </row>
    <row r="20" spans="1:6" x14ac:dyDescent="0.3">
      <c r="A20" s="7">
        <v>3.4</v>
      </c>
      <c r="B20" s="2" t="s">
        <v>61</v>
      </c>
      <c r="C20" s="2" t="s">
        <v>40</v>
      </c>
      <c r="D20" s="3">
        <v>46252</v>
      </c>
      <c r="E20" s="3">
        <v>46254</v>
      </c>
      <c r="F20" s="2" t="s">
        <v>18</v>
      </c>
    </row>
    <row r="21" spans="1:6" x14ac:dyDescent="0.3">
      <c r="A21" s="7">
        <v>3.5</v>
      </c>
      <c r="B21" s="2" t="s">
        <v>62</v>
      </c>
      <c r="C21" s="2" t="s">
        <v>63</v>
      </c>
      <c r="D21" s="3">
        <v>46255</v>
      </c>
      <c r="E21" s="3">
        <v>46265</v>
      </c>
      <c r="F21" s="2" t="s">
        <v>25</v>
      </c>
    </row>
    <row r="22" spans="1:6" x14ac:dyDescent="0.3">
      <c r="A22" s="7">
        <v>3.6</v>
      </c>
      <c r="B22" s="2" t="s">
        <v>64</v>
      </c>
      <c r="C22" s="2" t="s">
        <v>36</v>
      </c>
      <c r="D22" s="3">
        <v>46266</v>
      </c>
      <c r="E22" s="3">
        <v>46272</v>
      </c>
      <c r="F22" s="2" t="s">
        <v>18</v>
      </c>
    </row>
    <row r="23" spans="1:6" x14ac:dyDescent="0.3">
      <c r="A23" s="7">
        <v>3.7</v>
      </c>
      <c r="B23" s="2" t="s">
        <v>65</v>
      </c>
      <c r="C23" s="2" t="s">
        <v>66</v>
      </c>
      <c r="D23" s="3">
        <v>46273</v>
      </c>
      <c r="E23" s="3">
        <v>46283</v>
      </c>
      <c r="F23" s="2" t="s">
        <v>22</v>
      </c>
    </row>
    <row r="24" spans="1:6" x14ac:dyDescent="0.3">
      <c r="A24" s="7">
        <v>3.8</v>
      </c>
      <c r="B24" s="2" t="s">
        <v>67</v>
      </c>
      <c r="C24" s="2" t="s">
        <v>36</v>
      </c>
      <c r="D24" s="3">
        <v>46286</v>
      </c>
      <c r="E24" s="3">
        <v>46290</v>
      </c>
      <c r="F24" s="2" t="s">
        <v>22</v>
      </c>
    </row>
    <row r="25" spans="1:6" x14ac:dyDescent="0.3">
      <c r="A25" s="7">
        <v>3.9</v>
      </c>
      <c r="B25" s="2" t="s">
        <v>68</v>
      </c>
      <c r="C25" s="2" t="s">
        <v>40</v>
      </c>
      <c r="D25" s="3">
        <v>46293</v>
      </c>
      <c r="E25" s="3">
        <v>46295</v>
      </c>
      <c r="F25" s="2" t="s">
        <v>22</v>
      </c>
    </row>
    <row r="26" spans="1:6" x14ac:dyDescent="0.3">
      <c r="A26" s="8">
        <v>4</v>
      </c>
      <c r="B26" s="1" t="s">
        <v>69</v>
      </c>
      <c r="C26" s="2" t="s">
        <v>47</v>
      </c>
      <c r="D26" s="3">
        <v>46296</v>
      </c>
      <c r="E26" s="3">
        <v>46323</v>
      </c>
      <c r="F26" s="2" t="s">
        <v>26</v>
      </c>
    </row>
    <row r="27" spans="1:6" x14ac:dyDescent="0.3">
      <c r="A27" s="7">
        <v>4.0999999999999996</v>
      </c>
      <c r="B27" s="2" t="s">
        <v>70</v>
      </c>
      <c r="C27" s="2" t="s">
        <v>40</v>
      </c>
      <c r="D27" s="3">
        <v>46296</v>
      </c>
      <c r="E27" s="3">
        <v>46300</v>
      </c>
      <c r="F27" s="2" t="s">
        <v>26</v>
      </c>
    </row>
    <row r="28" spans="1:6" x14ac:dyDescent="0.3">
      <c r="A28" s="7">
        <v>4.2</v>
      </c>
      <c r="B28" s="2" t="s">
        <v>71</v>
      </c>
      <c r="C28" s="2" t="s">
        <v>42</v>
      </c>
      <c r="D28" s="3">
        <v>46301</v>
      </c>
      <c r="E28" s="3">
        <v>46304</v>
      </c>
      <c r="F28" s="2" t="s">
        <v>10</v>
      </c>
    </row>
    <row r="29" spans="1:6" x14ac:dyDescent="0.3">
      <c r="A29" s="7">
        <v>4.3</v>
      </c>
      <c r="B29" s="2" t="s">
        <v>72</v>
      </c>
      <c r="C29" s="2" t="s">
        <v>40</v>
      </c>
      <c r="D29" s="3">
        <v>46307</v>
      </c>
      <c r="E29" s="3">
        <v>46309</v>
      </c>
      <c r="F29" s="2" t="s">
        <v>26</v>
      </c>
    </row>
    <row r="30" spans="1:6" x14ac:dyDescent="0.3">
      <c r="A30" s="7">
        <v>4.4000000000000004</v>
      </c>
      <c r="B30" s="2" t="s">
        <v>73</v>
      </c>
      <c r="C30" s="2" t="s">
        <v>36</v>
      </c>
      <c r="D30" s="3">
        <v>46310</v>
      </c>
      <c r="E30" s="3">
        <v>46316</v>
      </c>
      <c r="F30" s="2" t="s">
        <v>10</v>
      </c>
    </row>
    <row r="31" spans="1:6" x14ac:dyDescent="0.3">
      <c r="A31" s="7">
        <v>4.5</v>
      </c>
      <c r="B31" s="2" t="s">
        <v>74</v>
      </c>
      <c r="C31" s="2" t="s">
        <v>40</v>
      </c>
      <c r="D31" s="3">
        <v>46317</v>
      </c>
      <c r="E31" s="3">
        <v>46321</v>
      </c>
      <c r="F31" s="2" t="s">
        <v>22</v>
      </c>
    </row>
    <row r="32" spans="1:6" x14ac:dyDescent="0.3">
      <c r="A32" s="7">
        <v>4.5999999999999996</v>
      </c>
      <c r="B32" s="2" t="s">
        <v>75</v>
      </c>
      <c r="C32" s="2" t="s">
        <v>38</v>
      </c>
      <c r="D32" s="3">
        <v>46322</v>
      </c>
      <c r="E32" s="3">
        <v>46323</v>
      </c>
      <c r="F32" s="2" t="s">
        <v>25</v>
      </c>
    </row>
    <row r="33" spans="1:6" x14ac:dyDescent="0.3">
      <c r="A33" s="7">
        <v>4.7</v>
      </c>
      <c r="B33" s="2" t="s">
        <v>76</v>
      </c>
      <c r="C33" s="2" t="s">
        <v>45</v>
      </c>
      <c r="D33" s="3">
        <v>46323</v>
      </c>
      <c r="E33" s="3">
        <v>46323</v>
      </c>
      <c r="F33" s="2" t="s">
        <v>14</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topLeftCell="B1" workbookViewId="0">
      <selection activeCell="C14" sqref="C14"/>
    </sheetView>
  </sheetViews>
  <sheetFormatPr defaultRowHeight="14.4" x14ac:dyDescent="0.3"/>
  <cols>
    <col min="1" max="1" width="26" customWidth="1"/>
    <col min="2" max="3" width="22" customWidth="1"/>
    <col min="4" max="4" width="20" customWidth="1"/>
    <col min="5" max="5" width="12" customWidth="1"/>
    <col min="6" max="6" width="14" customWidth="1"/>
  </cols>
  <sheetData>
    <row r="1" spans="1:6" x14ac:dyDescent="0.3">
      <c r="A1" s="1" t="s">
        <v>1</v>
      </c>
      <c r="B1" s="1" t="s">
        <v>77</v>
      </c>
      <c r="C1" s="1" t="s">
        <v>78</v>
      </c>
      <c r="D1" s="1" t="s">
        <v>79</v>
      </c>
      <c r="E1" s="1" t="s">
        <v>80</v>
      </c>
      <c r="F1" s="1" t="s">
        <v>81</v>
      </c>
    </row>
    <row r="2" spans="1:6" x14ac:dyDescent="0.3">
      <c r="A2" s="2" t="s">
        <v>10</v>
      </c>
      <c r="B2" s="2" t="s">
        <v>82</v>
      </c>
      <c r="C2" s="2">
        <v>6</v>
      </c>
      <c r="D2" s="2">
        <v>24</v>
      </c>
      <c r="E2" s="2">
        <v>8</v>
      </c>
      <c r="F2" s="2">
        <f t="shared" ref="F2:F9" si="0">D2*E2</f>
        <v>192</v>
      </c>
    </row>
    <row r="3" spans="1:6" x14ac:dyDescent="0.3">
      <c r="A3" s="2" t="s">
        <v>26</v>
      </c>
      <c r="B3" s="2" t="s">
        <v>83</v>
      </c>
      <c r="C3" s="2">
        <v>2</v>
      </c>
      <c r="D3" s="2">
        <v>6</v>
      </c>
      <c r="E3" s="2">
        <v>8</v>
      </c>
      <c r="F3" s="2">
        <f t="shared" si="0"/>
        <v>48</v>
      </c>
    </row>
    <row r="4" spans="1:6" x14ac:dyDescent="0.3">
      <c r="A4" s="2" t="s">
        <v>16</v>
      </c>
      <c r="B4" s="2" t="s">
        <v>84</v>
      </c>
      <c r="C4" s="2">
        <v>4</v>
      </c>
      <c r="D4" s="2">
        <v>16</v>
      </c>
      <c r="E4" s="2">
        <v>8</v>
      </c>
      <c r="F4" s="2">
        <f t="shared" si="0"/>
        <v>128</v>
      </c>
    </row>
    <row r="5" spans="1:6" x14ac:dyDescent="0.3">
      <c r="A5" s="2" t="s">
        <v>25</v>
      </c>
      <c r="B5" s="2" t="s">
        <v>85</v>
      </c>
      <c r="C5" s="2">
        <v>2</v>
      </c>
      <c r="D5" s="2">
        <v>9</v>
      </c>
      <c r="E5" s="2">
        <v>8</v>
      </c>
      <c r="F5" s="2">
        <f t="shared" si="0"/>
        <v>72</v>
      </c>
    </row>
    <row r="6" spans="1:6" x14ac:dyDescent="0.3">
      <c r="A6" s="2" t="s">
        <v>18</v>
      </c>
      <c r="B6" s="2" t="s">
        <v>86</v>
      </c>
      <c r="C6" s="2">
        <v>5</v>
      </c>
      <c r="D6" s="2">
        <v>15</v>
      </c>
      <c r="E6" s="2">
        <v>8</v>
      </c>
      <c r="F6" s="2">
        <f t="shared" si="0"/>
        <v>120</v>
      </c>
    </row>
    <row r="7" spans="1:6" x14ac:dyDescent="0.3">
      <c r="A7" s="2" t="s">
        <v>12</v>
      </c>
      <c r="B7" s="2" t="s">
        <v>87</v>
      </c>
      <c r="C7" s="2">
        <v>1</v>
      </c>
      <c r="D7" s="2">
        <v>4</v>
      </c>
      <c r="E7" s="2">
        <v>8</v>
      </c>
      <c r="F7" s="2">
        <f t="shared" si="0"/>
        <v>32</v>
      </c>
    </row>
    <row r="8" spans="1:6" x14ac:dyDescent="0.3">
      <c r="A8" s="2" t="s">
        <v>22</v>
      </c>
      <c r="B8" s="2" t="s">
        <v>88</v>
      </c>
      <c r="C8" s="2">
        <v>6</v>
      </c>
      <c r="D8" s="2">
        <v>29</v>
      </c>
      <c r="E8" s="2">
        <v>4</v>
      </c>
      <c r="F8" s="2">
        <f t="shared" si="0"/>
        <v>116</v>
      </c>
    </row>
    <row r="9" spans="1:6" x14ac:dyDescent="0.3">
      <c r="A9" s="2" t="s">
        <v>20</v>
      </c>
      <c r="B9" s="2" t="s">
        <v>89</v>
      </c>
      <c r="C9" s="2">
        <v>1</v>
      </c>
      <c r="D9" s="2">
        <v>44</v>
      </c>
      <c r="E9" s="2">
        <v>8</v>
      </c>
      <c r="F9" s="2">
        <f t="shared" si="0"/>
        <v>352</v>
      </c>
    </row>
    <row r="10" spans="1:6" x14ac:dyDescent="0.3">
      <c r="A10" s="2" t="s">
        <v>14</v>
      </c>
      <c r="B10" s="2" t="s">
        <v>90</v>
      </c>
      <c r="C10" s="2">
        <v>3</v>
      </c>
      <c r="D10" s="2">
        <v>0</v>
      </c>
      <c r="E10" s="2">
        <v>0</v>
      </c>
      <c r="F10" s="5">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
  <sheetViews>
    <sheetView tabSelected="1" workbookViewId="0">
      <selection activeCell="C5" sqref="C5"/>
    </sheetView>
  </sheetViews>
  <sheetFormatPr defaultRowHeight="14.4" x14ac:dyDescent="0.3"/>
  <cols>
    <col min="1" max="1" width="24" customWidth="1"/>
    <col min="2" max="2" width="14" customWidth="1"/>
    <col min="3" max="3" width="12" customWidth="1"/>
    <col min="4" max="4" width="38" customWidth="1"/>
    <col min="5" max="5" width="24" customWidth="1"/>
    <col min="6" max="6" width="52" customWidth="1"/>
  </cols>
  <sheetData>
    <row r="1" spans="1:6" x14ac:dyDescent="0.3">
      <c r="A1" s="1" t="s">
        <v>1</v>
      </c>
      <c r="B1" s="1" t="s">
        <v>5</v>
      </c>
      <c r="C1" s="1" t="s">
        <v>3</v>
      </c>
      <c r="D1" s="1" t="s">
        <v>91</v>
      </c>
      <c r="E1" s="1" t="s">
        <v>92</v>
      </c>
      <c r="F1" s="1" t="s">
        <v>93</v>
      </c>
    </row>
    <row r="2" spans="1:6" ht="60" customHeight="1" x14ac:dyDescent="0.3">
      <c r="A2" s="4" t="s">
        <v>16</v>
      </c>
      <c r="B2" s="4" t="s">
        <v>8</v>
      </c>
      <c r="C2" s="10">
        <v>1</v>
      </c>
      <c r="D2" s="4" t="s">
        <v>94</v>
      </c>
      <c r="E2" s="4" t="s">
        <v>94</v>
      </c>
      <c r="F2" s="4" t="s">
        <v>95</v>
      </c>
    </row>
    <row r="3" spans="1:6" ht="60" customHeight="1" x14ac:dyDescent="0.3">
      <c r="A3" s="4" t="s">
        <v>22</v>
      </c>
      <c r="B3" s="4" t="s">
        <v>23</v>
      </c>
      <c r="C3" s="10">
        <v>0.5</v>
      </c>
      <c r="D3" s="4" t="s">
        <v>96</v>
      </c>
      <c r="E3" s="4" t="s">
        <v>97</v>
      </c>
      <c r="F3" s="4" t="s">
        <v>98</v>
      </c>
    </row>
    <row r="4" spans="1:6" ht="60" customHeight="1" x14ac:dyDescent="0.3">
      <c r="A4" s="4" t="s">
        <v>10</v>
      </c>
      <c r="B4" s="4" t="s">
        <v>8</v>
      </c>
      <c r="C4" s="10">
        <v>1</v>
      </c>
      <c r="D4" s="4" t="s">
        <v>94</v>
      </c>
      <c r="E4" s="4" t="s">
        <v>94</v>
      </c>
      <c r="F4" s="4" t="s">
        <v>99</v>
      </c>
    </row>
    <row r="5" spans="1:6" ht="60" customHeight="1" x14ac:dyDescent="0.3">
      <c r="A5" s="4" t="s">
        <v>18</v>
      </c>
      <c r="B5" s="4" t="s">
        <v>8</v>
      </c>
      <c r="C5" s="10">
        <v>1</v>
      </c>
      <c r="D5" s="4" t="s">
        <v>94</v>
      </c>
      <c r="E5" s="4" t="s">
        <v>94</v>
      </c>
      <c r="F5" s="4" t="s">
        <v>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0" sqref="B10"/>
    </sheetView>
  </sheetViews>
  <sheetFormatPr defaultRowHeight="14.4" x14ac:dyDescent="0.3"/>
  <cols>
    <col min="1" max="1" width="28" customWidth="1"/>
    <col min="2" max="2" width="42" customWidth="1"/>
    <col min="3" max="3" width="28" customWidth="1"/>
    <col min="4" max="4" width="60" customWidth="1"/>
  </cols>
  <sheetData>
    <row r="1" spans="1:4" x14ac:dyDescent="0.3">
      <c r="A1" s="1" t="s">
        <v>1</v>
      </c>
      <c r="B1" s="1" t="s">
        <v>100</v>
      </c>
      <c r="C1" s="1" t="s">
        <v>101</v>
      </c>
      <c r="D1" s="1" t="s">
        <v>102</v>
      </c>
    </row>
    <row r="2" spans="1:4" ht="73.2" customHeight="1" x14ac:dyDescent="0.3">
      <c r="A2" s="4" t="s">
        <v>22</v>
      </c>
      <c r="B2" s="4" t="s">
        <v>103</v>
      </c>
      <c r="C2" s="4" t="s">
        <v>104</v>
      </c>
      <c r="D2" s="4" t="s">
        <v>105</v>
      </c>
    </row>
    <row r="3" spans="1:4" ht="13.8" customHeight="1" x14ac:dyDescent="0.3"/>
    <row r="4" spans="1:4" ht="14.4" customHeigh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Resource List</vt:lpstr>
      <vt:lpstr>Assigned Tasks</vt:lpstr>
      <vt:lpstr>Working Hours</vt:lpstr>
      <vt:lpstr>Overallocation Details</vt:lpstr>
      <vt:lpstr>Solution Applied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GIFT</cp:lastModifiedBy>
  <dcterms:created xsi:type="dcterms:W3CDTF">2026-07-04T05:26:11Z</dcterms:created>
  <dcterms:modified xsi:type="dcterms:W3CDTF">2026-07-04T16:18:25Z</dcterms:modified>
</cp:coreProperties>
</file>